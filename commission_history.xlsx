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perations" sheetId="2" state="visible" r:id="rId2"/>
  </sheets>
  <definedNames>
    <definedName name="_xlnm._FilterDatabase" localSheetId="1" hidden="1">'Operations'!$A$1:$R$7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D &quot; 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Agents by Commission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>
              <a:prstDash val="solid"/>
            </a:ln>
          </spPr>
          <cat>
            <numRef>
              <f>'Dashboard'!$A$16:$A$18</f>
            </numRef>
          </cat>
          <val>
            <numRef>
              <f>'Dashboard'!$B$16:$B$18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Commission by Operation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'Operations'!L1</f>
            </strRef>
          </tx>
          <spPr>
            <a:ln>
              <a:prstDash val="solid"/>
            </a:ln>
          </spPr>
          <cat>
            <numRef>
              <f>'Operations'!$A$2:$A$7</f>
            </numRef>
          </cat>
          <val>
            <numRef>
              <f>'Operations'!$L$2:$L$7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REMAX COMMISSION REPORT</t>
        </is>
      </c>
    </row>
    <row r="3">
      <c r="A3" s="2" t="inlineStr">
        <is>
          <t>Operations</t>
        </is>
      </c>
      <c r="B3" t="n">
        <v>6</v>
      </c>
    </row>
    <row r="4">
      <c r="A4" s="2" t="inlineStr">
        <is>
          <t>Agents</t>
        </is>
      </c>
      <c r="B4" t="n">
        <v>4</v>
      </c>
    </row>
    <row r="5">
      <c r="A5" s="2" t="inlineStr">
        <is>
          <t>Properties</t>
        </is>
      </c>
      <c r="B5" t="n">
        <v>4</v>
      </c>
    </row>
    <row r="6">
      <c r="A6" s="2" t="n"/>
    </row>
    <row r="7">
      <c r="A7" s="2" t="inlineStr">
        <is>
          <t>Gross Commission</t>
        </is>
      </c>
      <c r="B7" s="3" t="n">
        <v>141820</v>
      </c>
    </row>
    <row r="8">
      <c r="A8" s="2" t="inlineStr">
        <is>
          <t>Office Revenue</t>
        </is>
      </c>
      <c r="B8" s="3" t="n">
        <v>60348.01428571429</v>
      </c>
    </row>
    <row r="9">
      <c r="A9" s="2" t="inlineStr">
        <is>
          <t>Agent Payments</t>
        </is>
      </c>
      <c r="B9" s="3" t="n">
        <v>78834.55714285716</v>
      </c>
    </row>
    <row r="10">
      <c r="A10" s="2" t="inlineStr">
        <is>
          <t>Highest Commission</t>
        </is>
      </c>
      <c r="B10" s="3" t="n">
        <v>43400.00000000001</v>
      </c>
    </row>
    <row r="11">
      <c r="A11" s="2" t="inlineStr">
        <is>
          <t>Average Commission</t>
        </is>
      </c>
      <c r="B11" s="3" t="n">
        <v>23636.66666666667</v>
      </c>
    </row>
    <row r="14">
      <c r="A14" s="4" t="inlineStr">
        <is>
          <t>TOP AGENTS</t>
        </is>
      </c>
    </row>
    <row r="15">
      <c r="A15" s="2" t="inlineStr">
        <is>
          <t>Agent</t>
        </is>
      </c>
      <c r="B15" s="2" t="inlineStr">
        <is>
          <t>Commission</t>
        </is>
      </c>
    </row>
    <row r="16">
      <c r="A16" t="inlineStr">
        <is>
          <t>Nieves Achard</t>
        </is>
      </c>
      <c r="B16" s="3" t="n">
        <v>68100</v>
      </c>
    </row>
    <row r="17">
      <c r="A17" t="inlineStr">
        <is>
          <t>Tomas Pasman</t>
        </is>
      </c>
      <c r="B17" s="3" t="n">
        <v>43400.00000000001</v>
      </c>
    </row>
    <row r="18">
      <c r="A18" t="inlineStr">
        <is>
          <t>Pablo Reynals</t>
        </is>
      </c>
      <c r="B18" s="3" t="n">
        <v>18070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5" customWidth="1" min="5" max="5"/>
    <col width="27" customWidth="1" min="6" max="6"/>
    <col width="16" customWidth="1" min="7" max="7"/>
    <col width="12" customWidth="1" min="8" max="8"/>
    <col width="10" customWidth="1" min="9" max="9"/>
    <col width="14" customWidth="1" min="10" max="10"/>
    <col width="19" customWidth="1" min="11" max="11"/>
    <col width="22" customWidth="1" min="12" max="12"/>
    <col width="25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</cols>
  <sheetData>
    <row r="1">
      <c r="A1" s="5" t="inlineStr">
        <is>
          <t>ID</t>
        </is>
      </c>
      <c r="B1" s="5" t="inlineStr">
        <is>
          <t>Date</t>
        </is>
      </c>
      <c r="C1" s="5" t="inlineStr">
        <is>
          <t>Agent</t>
        </is>
      </c>
      <c r="D1" s="5" t="inlineStr">
        <is>
          <t>Agent Type</t>
        </is>
      </c>
      <c r="E1" s="5" t="inlineStr">
        <is>
          <t>Property ID</t>
        </is>
      </c>
      <c r="F1" s="5" t="inlineStr">
        <is>
          <t>Property</t>
        </is>
      </c>
      <c r="G1" s="5" t="inlineStr">
        <is>
          <t>Jurisdiction</t>
        </is>
      </c>
      <c r="H1" s="5" t="inlineStr">
        <is>
          <t>Invoiced</t>
        </is>
      </c>
      <c r="I1" s="5" t="inlineStr">
        <is>
          <t>VAT</t>
        </is>
      </c>
      <c r="J1" s="5" t="inlineStr">
        <is>
          <t>Sale Price</t>
        </is>
      </c>
      <c r="K1" s="5" t="inlineStr">
        <is>
          <t>Commission Rate</t>
        </is>
      </c>
      <c r="L1" s="5" t="inlineStr">
        <is>
          <t>Total Commission</t>
        </is>
      </c>
      <c r="M1" s="5" t="inlineStr">
        <is>
          <t>Commission After ABAO</t>
        </is>
      </c>
      <c r="N1" s="5" t="inlineStr">
        <is>
          <t>ABAO</t>
        </is>
      </c>
      <c r="O1" s="5" t="inlineStr">
        <is>
          <t>Martillero</t>
        </is>
      </c>
      <c r="P1" s="5" t="inlineStr">
        <is>
          <t>Agent Payment</t>
        </is>
      </c>
      <c r="Q1" s="5" t="inlineStr">
        <is>
          <t>Office Payment</t>
        </is>
      </c>
      <c r="R1" s="5" t="inlineStr">
        <is>
          <t>Office Total</t>
        </is>
      </c>
    </row>
    <row r="2">
      <c r="A2" t="inlineStr">
        <is>
          <t>COM-000001</t>
        </is>
      </c>
      <c r="B2" t="inlineStr">
        <is>
          <t>13/08/2026</t>
        </is>
      </c>
      <c r="C2" t="inlineStr">
        <is>
          <t>Nieves Achard</t>
        </is>
      </c>
      <c r="D2" t="inlineStr">
        <is>
          <t>RAPP</t>
        </is>
      </c>
      <c r="E2" t="inlineStr">
        <is>
          <t>PROP-000001</t>
        </is>
      </c>
      <c r="F2" t="inlineStr">
        <is>
          <t>Eduardo Madero 875</t>
        </is>
      </c>
      <c r="G2" t="inlineStr">
        <is>
          <t>PBA</t>
        </is>
      </c>
      <c r="H2" t="inlineStr">
        <is>
          <t>no</t>
        </is>
      </c>
      <c r="I2" s="3" t="n">
        <v>0</v>
      </c>
      <c r="J2" s="3" t="n">
        <v>585000</v>
      </c>
      <c r="K2" s="6" t="n">
        <v>6</v>
      </c>
      <c r="L2" s="3" t="n">
        <v>35100</v>
      </c>
      <c r="M2" s="3" t="n">
        <v>35100</v>
      </c>
      <c r="N2" s="3" t="n">
        <v>0</v>
      </c>
      <c r="O2" s="3" t="n">
        <v>0</v>
      </c>
      <c r="P2" s="3" t="n">
        <v>15795</v>
      </c>
      <c r="Q2" s="3" t="n">
        <v>19305</v>
      </c>
      <c r="R2" s="3" t="n">
        <v>19305</v>
      </c>
    </row>
    <row r="3">
      <c r="A3" t="inlineStr">
        <is>
          <t>COM-000002</t>
        </is>
      </c>
      <c r="B3" t="inlineStr">
        <is>
          <t>14/08/2026</t>
        </is>
      </c>
      <c r="C3" t="inlineStr">
        <is>
          <t>Nieves Achard</t>
        </is>
      </c>
      <c r="D3" t="inlineStr">
        <is>
          <t>RAPP</t>
        </is>
      </c>
      <c r="E3" t="inlineStr">
        <is>
          <t>PROP-000001</t>
        </is>
      </c>
      <c r="F3" t="inlineStr">
        <is>
          <t>Eduardo Madero 875</t>
        </is>
      </c>
      <c r="G3" t="inlineStr">
        <is>
          <t>PBA</t>
        </is>
      </c>
      <c r="H3" t="inlineStr">
        <is>
          <t>no</t>
        </is>
      </c>
      <c r="I3" s="3" t="n">
        <v>0</v>
      </c>
      <c r="J3" s="3" t="n">
        <v>550000</v>
      </c>
      <c r="K3" s="6" t="n">
        <v>6</v>
      </c>
      <c r="L3" s="3" t="n">
        <v>33000</v>
      </c>
      <c r="M3" s="3" t="n">
        <v>33000</v>
      </c>
      <c r="N3" s="3" t="n">
        <v>0</v>
      </c>
      <c r="O3" s="3" t="n">
        <v>0</v>
      </c>
      <c r="P3" s="3" t="n">
        <v>14850</v>
      </c>
      <c r="Q3" s="3" t="n">
        <v>18150</v>
      </c>
      <c r="R3" s="3" t="n">
        <v>18150</v>
      </c>
    </row>
    <row r="4">
      <c r="A4" t="inlineStr">
        <is>
          <t>COM-000003</t>
        </is>
      </c>
      <c r="B4" t="inlineStr">
        <is>
          <t>14/08/2026</t>
        </is>
      </c>
      <c r="C4" t="inlineStr">
        <is>
          <t>Tomas Pasman</t>
        </is>
      </c>
      <c r="D4" t="inlineStr">
        <is>
          <t>Puro</t>
        </is>
      </c>
      <c r="E4" t="inlineStr">
        <is>
          <t>PROP-000002</t>
        </is>
      </c>
      <c r="F4" t="inlineStr">
        <is>
          <t>Av del Libertador 15200</t>
        </is>
      </c>
      <c r="G4" t="inlineStr">
        <is>
          <t>PBA</t>
        </is>
      </c>
      <c r="H4" t="inlineStr">
        <is>
          <t>yes</t>
        </is>
      </c>
      <c r="I4" s="3" t="n">
        <v>1500</v>
      </c>
      <c r="J4" s="3" t="n">
        <v>620000</v>
      </c>
      <c r="K4" s="6" t="n">
        <v>7</v>
      </c>
      <c r="L4" s="3" t="n">
        <v>43400.00000000001</v>
      </c>
      <c r="M4" s="3" t="n">
        <v>42971.42857142858</v>
      </c>
      <c r="N4" s="3" t="n">
        <v>428.5714285714286</v>
      </c>
      <c r="O4" s="3" t="n">
        <v>1718.857142857143</v>
      </c>
      <c r="P4" s="3" t="n">
        <v>33002.05714285715</v>
      </c>
      <c r="Q4" s="3" t="n">
        <v>8250.514285714286</v>
      </c>
      <c r="R4" s="3" t="n">
        <v>10179.08571428571</v>
      </c>
    </row>
    <row r="5">
      <c r="A5" t="inlineStr">
        <is>
          <t>COM-000004</t>
        </is>
      </c>
      <c r="B5" t="inlineStr">
        <is>
          <t>14/08/2026</t>
        </is>
      </c>
      <c r="C5" t="inlineStr">
        <is>
          <t>Celina Esteban</t>
        </is>
      </c>
      <c r="D5" t="inlineStr">
        <is>
          <t>Alto</t>
        </is>
      </c>
      <c r="E5" t="inlineStr">
        <is>
          <t>PROP-000004</t>
        </is>
      </c>
      <c r="F5" t="inlineStr">
        <is>
          <t>Av Cabildo 2400</t>
        </is>
      </c>
      <c r="G5" t="inlineStr">
        <is>
          <t>CABA</t>
        </is>
      </c>
      <c r="H5" t="inlineStr">
        <is>
          <t>yes</t>
        </is>
      </c>
      <c r="I5" s="3" t="n">
        <v>250</v>
      </c>
      <c r="J5" s="3" t="n">
        <v>175000</v>
      </c>
      <c r="K5" s="6" t="n">
        <v>7</v>
      </c>
      <c r="L5" s="3" t="n">
        <v>12250</v>
      </c>
      <c r="M5" s="3" t="n">
        <v>12250</v>
      </c>
      <c r="N5" s="3" t="n">
        <v>0</v>
      </c>
      <c r="O5" s="3" t="n">
        <v>490.0000000000001</v>
      </c>
      <c r="P5" s="3" t="n">
        <v>7056.000000000001</v>
      </c>
      <c r="Q5" s="3" t="n">
        <v>4704.000000000001</v>
      </c>
      <c r="R5" s="3" t="n">
        <v>4954.000000000001</v>
      </c>
    </row>
    <row r="6">
      <c r="A6" t="inlineStr">
        <is>
          <t>COM-000005</t>
        </is>
      </c>
      <c r="B6" t="inlineStr">
        <is>
          <t>14/08/2026</t>
        </is>
      </c>
      <c r="C6" t="inlineStr">
        <is>
          <t>Pablo Reynals</t>
        </is>
      </c>
      <c r="D6" t="inlineStr">
        <is>
          <t>Junior</t>
        </is>
      </c>
      <c r="E6" t="inlineStr">
        <is>
          <t>PROP-000004</t>
        </is>
      </c>
      <c r="F6" t="inlineStr">
        <is>
          <t>Av Cabildo 2400</t>
        </is>
      </c>
      <c r="G6" t="inlineStr">
        <is>
          <t>CABA</t>
        </is>
      </c>
      <c r="H6" t="inlineStr">
        <is>
          <t>no</t>
        </is>
      </c>
      <c r="I6" s="3" t="n">
        <v>0</v>
      </c>
      <c r="J6" s="3" t="n">
        <v>175000</v>
      </c>
      <c r="K6" s="6" t="n">
        <v>7</v>
      </c>
      <c r="L6" s="3" t="n">
        <v>12250</v>
      </c>
      <c r="M6" s="3" t="n">
        <v>12250</v>
      </c>
      <c r="N6" s="3" t="n">
        <v>0</v>
      </c>
      <c r="O6" s="3" t="n">
        <v>0</v>
      </c>
      <c r="P6" s="3" t="n">
        <v>5512.500000000001</v>
      </c>
      <c r="Q6" s="3" t="n">
        <v>6737.500000000001</v>
      </c>
      <c r="R6" s="3" t="n">
        <v>6737.500000000001</v>
      </c>
    </row>
    <row r="7">
      <c r="A7" t="inlineStr">
        <is>
          <t>COM-000006</t>
        </is>
      </c>
      <c r="B7" t="inlineStr">
        <is>
          <t>14/08/2026</t>
        </is>
      </c>
      <c r="C7" t="inlineStr">
        <is>
          <t>Pablo Reynals</t>
        </is>
      </c>
      <c r="D7" t="inlineStr">
        <is>
          <t>Junior</t>
        </is>
      </c>
      <c r="E7" t="inlineStr">
        <is>
          <t>PROP-000003</t>
        </is>
      </c>
      <c r="F7" t="inlineStr">
        <is>
          <t>Monroe 2587</t>
        </is>
      </c>
      <c r="G7" t="inlineStr">
        <is>
          <t>CABA</t>
        </is>
      </c>
      <c r="H7" t="inlineStr">
        <is>
          <t>no</t>
        </is>
      </c>
      <c r="I7" s="3" t="n">
        <v>0</v>
      </c>
      <c r="J7" s="3" t="n">
        <v>97000</v>
      </c>
      <c r="K7" s="6" t="n">
        <v>6</v>
      </c>
      <c r="L7" s="3" t="n">
        <v>5820</v>
      </c>
      <c r="M7" s="3" t="n">
        <v>5820</v>
      </c>
      <c r="N7" s="3" t="n">
        <v>0</v>
      </c>
      <c r="O7" s="3" t="n">
        <v>0</v>
      </c>
      <c r="P7" s="3" t="n">
        <v>2619</v>
      </c>
      <c r="Q7" s="3" t="n">
        <v>3201</v>
      </c>
      <c r="R7" s="3" t="n">
        <v>3201</v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2026-08-14T21:50:18Z</dcterms:created>
  <dcterms:modified xsi:type="dcterms:W3CDTF">2026-08-14T21:50:18Z</dcterms:modified>
</cp:coreProperties>
</file>